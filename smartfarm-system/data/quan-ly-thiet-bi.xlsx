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176" windowHeight="7536" activeTab="1"/>
  </bookViews>
  <sheets>
    <sheet name="danh-muc-linh-kien" sheetId="1" r:id="rId1"/>
    <sheet name="trang-thai-tram" sheetId="2" r:id="rId2"/>
  </sheets>
  <definedNames>
    <definedName name="_xlnm._FilterDatabase" localSheetId="1" hidden="1">'trang-thai-tram'!$F$1:$F$11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<sst xmlns="http://schemas.openxmlformats.org/spreadsheetml/2006/main" count="48" uniqueCount="32">
  <si>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</si>
  <si>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</si>
  <si>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</si>
  <si>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</si>
  <si>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</si>
  <si>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</si>
  <si>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</si>
  <si>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</si>
  <si>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</si>
  <si>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</si>
  <si>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</si>
  <si>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</si>
  <si>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</si>
  <si>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</si>
  <si>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</si>
  <si>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</si>
  <si>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</si>
  <si>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</si>
  <si>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</si>
  <si>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</si>
  <si>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</si>
  <si>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ma_linh_kien_sach</t>
  </si>
  <si>
    <t>ST01</t>
  </si>
  <si>
    <t>ST02</t>
  </si>
  <si>
    <t>ST03</t>
  </si>
  <si>
    <t>ST04</t>
  </si>
  <si>
    <t>ST05</t>
  </si>
  <si>
    <t>ST06</t>
  </si>
  <si>
    <t>ST07</t>
  </si>
  <si>
    <t>ST08</t>
  </si>
  <si>
    <t>ST09</t>
  </si>
  <si>
    <t>ST10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</si>
</sst>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8" fontId="0" fillId="0" borderId="0" xfId="0" applyNumberFormat="1"/>
    <xf numFmtId="0" fontId="0" fillId="0" borderId="0" xfId="0" applyFont="1" applyFill="1" applyAlignment="1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9" defaultRowHeight="14.4" outlineLevelRow="6" outlineLevelCol="3"/>
  <cols>
    <col min="1" max="4" width="2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4">
        <v>1450000</v>
      </c>
      <c r="D2" t="s">
        <v>6</v>
      </c>
    </row>
    <row r="3" spans="1:4">
      <c r="A3" t="s">
        <v>7</v>
      </c>
      <c r="B3" t="s">
        <v>8</v>
      </c>
      <c r="C3" s="4">
        <v>6200000</v>
      </c>
      <c r="D3" t="s">
        <v>6</v>
      </c>
    </row>
    <row r="4" spans="1:4">
      <c r="A4" t="s">
        <v>9</v>
      </c>
      <c r="B4" t="s">
        <v>10</v>
      </c>
      <c r="C4" s="4">
        <v>2300000</v>
      </c>
      <c r="D4" t="s">
        <v>6</v>
      </c>
    </row>
    <row r="5" spans="1:4">
      <c r="A5" t="s">
        <v>11</v>
      </c>
      <c r="B5" t="s">
        <v>12</v>
      </c>
      <c r="C5" s="4">
        <v>5400000</v>
      </c>
      <c r="D5" t="s">
        <v>13</v>
      </c>
    </row>
    <row r="6" spans="1:4">
      <c r="A6" t="s">
        <v>14</v>
      </c>
      <c r="B6" t="s">
        <v>15</v>
      </c>
      <c r="C6" s="4">
        <v>4200000</v>
      </c>
      <c r="D6" t="s">
        <v>6</v>
      </c>
    </row>
    <row r="7" spans="1:4">
      <c r="A7" t="s">
        <v>16</v>
      </c>
      <c r="B7" t="s">
        <v>17</v>
      </c>
      <c r="C7" s="4">
        <v>3900000</v>
      </c>
      <c r="D7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F2" sqref="F2"/>
    </sheetView>
  </sheetViews>
  <sheetFormatPr defaultColWidth="9" defaultRowHeight="14.4" outlineLevelCol="5"/>
  <cols>
    <col min="1" max="4" width="24" customWidth="1"/>
    <col min="5" max="5" width="17.5555555555556" customWidth="1"/>
    <col min="6" max="6" width="20.8888888888889" customWidth="1"/>
  </cols>
  <sheetData>
    <row r="1" spans="1:6">
      <c r="A1" s="1" t="s">
        <v>18</v>
      </c>
      <c r="B1" s="1" t="s">
        <v>0</v>
      </c>
      <c r="C1" s="1" t="s">
        <v>19</v>
      </c>
      <c r="D1" s="1" t="s">
        <v>20</v>
      </c>
      <c r="E1" t="s">
        <v>21</v>
      </c>
      <c r="F1" t="s">
        <v>1</v>
      </c>
    </row>
    <row r="2" spans="1:6">
      <c r="A2" t="s">
        <v>22</v>
      </c>
      <c r="B2" t="s">
        <v>7</v>
      </c>
      <c r="C2">
        <v>16</v>
      </c>
      <c r="D2" s="2">
        <v>46093</v>
      </c>
      <c r="E2" s="3" t="str">
        <f t="shared" ref="E2:E11" si="0">TRIM(B2)</f>
        <v>LK02</v>
      </c>
      <c r="F2" s="3" t="str">
        <f>VLOOKUP(B2,'danh-muc-linh-kien'!$A$1:$D$7,2,FALSE)</f>
        <v>Intel NUC i3</v>
      </c>
    </row>
    <row r="3" spans="1:6">
      <c r="A3" t="s">
        <v>23</v>
      </c>
      <c r="B3" t="s">
        <v>4</v>
      </c>
      <c r="C3">
        <v>4</v>
      </c>
      <c r="D3" s="2">
        <v>46096</v>
      </c>
      <c r="E3" s="3" t="str">
        <f t="shared" si="0"/>
        <v>LK01</v>
      </c>
      <c r="F3" s="3" t="str">
        <f>VLOOKUP(B3,'danh-muc-linh-kien'!$A$1:$D$7,2,FALSE)</f>
        <v>Raspberry Pi 4 Model B</v>
      </c>
    </row>
    <row r="4" spans="1:6">
      <c r="A4" t="s">
        <v>24</v>
      </c>
      <c r="B4" t="s">
        <v>14</v>
      </c>
      <c r="C4">
        <v>8</v>
      </c>
      <c r="D4" s="2">
        <v>46114</v>
      </c>
      <c r="E4" s="3" t="str">
        <f t="shared" si="0"/>
        <v>LK05</v>
      </c>
      <c r="F4" s="3" t="str">
        <f>VLOOKUP(B4,'danh-muc-linh-kien'!$A$1:$D$7,2,FALSE)</f>
        <v>Mini PC Fanless N100</v>
      </c>
    </row>
    <row r="5" spans="1:6">
      <c r="A5" t="s">
        <v>25</v>
      </c>
      <c r="B5" t="s">
        <v>9</v>
      </c>
      <c r="C5">
        <v>8</v>
      </c>
      <c r="D5" s="2">
        <v>46121</v>
      </c>
      <c r="E5" s="3" t="str">
        <f t="shared" si="0"/>
        <v>LK03</v>
      </c>
      <c r="F5" s="3" t="str">
        <f>VLOOKUP(B5,'danh-muc-linh-kien'!$A$1:$D$7,2,FALSE)</f>
        <v>Orange Pi 5</v>
      </c>
    </row>
    <row r="6" spans="1:6">
      <c r="A6" t="s">
        <v>26</v>
      </c>
      <c r="B6" t="s">
        <v>7</v>
      </c>
      <c r="C6">
        <v>16</v>
      </c>
      <c r="D6" s="2">
        <v>46133</v>
      </c>
      <c r="E6" s="3" t="str">
        <f t="shared" si="0"/>
        <v>LK02</v>
      </c>
      <c r="F6" s="3" t="str">
        <f>VLOOKUP(B6,'danh-muc-linh-kien'!$A$1:$D$7,2,FALSE)</f>
        <v>Intel NUC i3</v>
      </c>
    </row>
    <row r="7" spans="1:6">
      <c r="A7" t="s">
        <v>27</v>
      </c>
      <c r="B7" t="s">
        <v>16</v>
      </c>
      <c r="C7">
        <v>4</v>
      </c>
      <c r="D7" s="2">
        <v>46147</v>
      </c>
      <c r="E7" s="3" t="str">
        <f t="shared" si="0"/>
        <v>LK06</v>
      </c>
      <c r="F7" s="3" t="str">
        <f>VLOOKUP(B7,'danh-muc-linh-kien'!$A$1:$D$7,2,FALSE)</f>
        <v>Synology DS220j NAS</v>
      </c>
    </row>
    <row r="8" spans="1:6">
      <c r="A8" t="s">
        <v>28</v>
      </c>
      <c r="B8" t="s">
        <v>4</v>
      </c>
      <c r="C8">
        <v>4</v>
      </c>
      <c r="D8" s="2">
        <v>46160</v>
      </c>
      <c r="E8" s="3" t="str">
        <f t="shared" si="0"/>
        <v>LK01</v>
      </c>
      <c r="F8" s="3" t="str">
        <f>VLOOKUP(B8,'danh-muc-linh-kien'!$A$1:$D$7,2,FALSE)</f>
        <v>Raspberry Pi 4 Model B</v>
      </c>
    </row>
    <row r="9" spans="1:6">
      <c r="A9" t="s">
        <v>29</v>
      </c>
      <c r="B9" t="s">
        <v>11</v>
      </c>
      <c r="C9">
        <v>8</v>
      </c>
      <c r="D9" s="2">
        <v>46174</v>
      </c>
      <c r="E9" s="3" t="str">
        <f t="shared" si="0"/>
        <v>LK04</v>
      </c>
      <c r="F9" s="3" t="str">
        <f>VLOOKUP(B9,'danh-muc-linh-kien'!$A$1:$D$7,2,FALSE)</f>
        <v>Dell Optiplex Micro</v>
      </c>
    </row>
    <row r="10" spans="1:6">
      <c r="A10" t="s">
        <v>30</v>
      </c>
      <c r="B10" t="s">
        <v>9</v>
      </c>
      <c r="C10">
        <v>8</v>
      </c>
      <c r="D10" s="2">
        <v>46187</v>
      </c>
      <c r="E10" s="3" t="str">
        <f t="shared" si="0"/>
        <v>LK03</v>
      </c>
      <c r="F10" s="3" t="str">
        <f>VLOOKUP(B10,'danh-muc-linh-kien'!$A$1:$D$7,2,FALSE)</f>
        <v>Orange Pi 5</v>
      </c>
    </row>
    <row r="11" spans="1:6">
      <c r="A11" t="s">
        <v>31</v>
      </c>
      <c r="B11" t="s">
        <v>14</v>
      </c>
      <c r="C11">
        <v>8</v>
      </c>
      <c r="D11" s="2">
        <v>46206</v>
      </c>
      <c r="E11" s="3" t="str">
        <f t="shared" si="0"/>
        <v>LK05</v>
      </c>
      <c r="F11" s="3" t="str">
        <f>VLOOKUP(B11,'danh-muc-linh-kien'!$A$1:$D$7,2,FALSE)</f>
        <v>Mini PC Fanless N100</v>
      </c>
    </row>
  </sheetData>
  <autoFilter xmlns:etc="http://www.wps.cn/officeDocument/2017/etCustomData" ref="F1:F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tú thanh</cp:lastModifiedBy>
  <dcterms:created xsi:type="dcterms:W3CDTF">2026-10-13T00:17:00Z</dcterms:created>
  <dcterms:modified xsi:type="dcterms:W3CDTF">2026-10-27T02:21:32Z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1033-12.1.0.29162</vt:lpwstr>
  </property>
  <property fmtid="{D5CDD505-2E9C-101B-9397-08002B2CF9AE}" pid="3" name="CalculationRule">
    <vt:i4>0</vt:i4>
  </property>
  <property fmtid="{D5CDD505-2E9C-101B-9397-08002B2CF9AE}" pid="4" name="ICV">
    <vt:lpwstr>3E476D20BC694FA1889E302850FADD79_12</vt:lpwstr>
  </property>
</Properties>
</file>